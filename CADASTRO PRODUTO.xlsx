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25FCB139-EC72-42EA-BE5E-31FAF37B4875}" xr6:coauthVersionLast="47" xr6:coauthVersionMax="47" xr10:uidLastSave="{00000000-0000-0000-0000-000000000000}"/>
  <bookViews>
    <workbookView xWindow="-108" yWindow="-108" windowWidth="23256" windowHeight="12456" xr2:uid="{E4876962-B184-4B10-9555-DA823D0693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9" i="1" l="1"/>
  <c r="V58" i="1"/>
  <c r="V57" i="1"/>
  <c r="V56" i="1"/>
  <c r="V55" i="1"/>
  <c r="V53" i="1"/>
  <c r="V54" i="1"/>
  <c r="V52" i="1"/>
  <c r="V51" i="1"/>
  <c r="V50" i="1"/>
  <c r="V49" i="1"/>
  <c r="V20" i="1"/>
  <c r="V48" i="1"/>
  <c r="V46" i="1"/>
  <c r="V47" i="1"/>
  <c r="V40" i="1"/>
  <c r="V41" i="1"/>
  <c r="V42" i="1"/>
  <c r="V43" i="1"/>
  <c r="V44" i="1"/>
  <c r="V45" i="1"/>
  <c r="V39" i="1"/>
  <c r="V38" i="1"/>
  <c r="V37" i="1"/>
  <c r="V36" i="1"/>
  <c r="V35" i="1"/>
  <c r="V34" i="1"/>
  <c r="V30" i="1"/>
  <c r="V33" i="1"/>
  <c r="V32" i="1"/>
  <c r="V31" i="1"/>
  <c r="V28" i="1"/>
  <c r="V29" i="1"/>
  <c r="V27" i="1"/>
  <c r="V26" i="1"/>
  <c r="V25" i="1"/>
  <c r="V24" i="1"/>
  <c r="V23" i="1"/>
  <c r="V22" i="1"/>
  <c r="V21" i="1"/>
  <c r="V19" i="1"/>
  <c r="V18" i="1"/>
  <c r="V15" i="1"/>
  <c r="V16" i="1"/>
  <c r="V4" i="1"/>
  <c r="V3" i="1"/>
  <c r="V2" i="1"/>
  <c r="V17" i="1"/>
  <c r="V14" i="1"/>
  <c r="V9" i="1"/>
  <c r="V10" i="1"/>
  <c r="V11" i="1"/>
  <c r="V12" i="1"/>
  <c r="V13" i="1"/>
  <c r="V8" i="1"/>
  <c r="V5" i="1"/>
  <c r="V6" i="1"/>
  <c r="V7" i="1"/>
</calcChain>
</file>

<file path=xl/sharedStrings.xml><?xml version="1.0" encoding="utf-8"?>
<sst xmlns="http://schemas.openxmlformats.org/spreadsheetml/2006/main" count="371" uniqueCount="201">
  <si>
    <t>codigo</t>
  </si>
  <si>
    <t>descricao</t>
  </si>
  <si>
    <t>categoria 1</t>
  </si>
  <si>
    <t>categoria 2</t>
  </si>
  <si>
    <t>BOMBA DE CALOR INVERTER KOBC 025QC G1</t>
  </si>
  <si>
    <t>BOMBA DE CALOR INVERTER KOBC 045QC G1</t>
  </si>
  <si>
    <t>BOMBA DE CALOR INVERTER KOBC 060QC G1</t>
  </si>
  <si>
    <t>BOMBA DE CALOR INVERTER KOBC 075QC G1</t>
  </si>
  <si>
    <t>BOMBA DE CALOR INVERTER KOBC 120QC G1</t>
  </si>
  <si>
    <t>BOMBA DE CALOR INVERTER KOBC 100QC G1</t>
  </si>
  <si>
    <t>Bomba de Calor</t>
  </si>
  <si>
    <t>Caracteristica - capacidade termica p/ codicao de ensaio 26°C (kW)</t>
  </si>
  <si>
    <t>Caracteristica - capacidade termica p/ codicao de ensaio 15°C (kW)</t>
  </si>
  <si>
    <t>Caracteristica - Consumo eletrico  p/ codicao de ensaio 26°C (kW/h)</t>
  </si>
  <si>
    <t>Caracteristica - Consumo eletrico  p/ codicao de ensaio 15°C (kW/h)</t>
  </si>
  <si>
    <t>Caracteristica - Vazao ideal (m³/h)</t>
  </si>
  <si>
    <t>custo  (R$)</t>
  </si>
  <si>
    <t>valor de venda (R$)</t>
  </si>
  <si>
    <t>SERV80001</t>
  </si>
  <si>
    <t>INSTALACAO BOMBA DE CALOR</t>
  </si>
  <si>
    <t>SERV80002</t>
  </si>
  <si>
    <t>INSTALACAO BOMBA DE PISCINA</t>
  </si>
  <si>
    <t>SERV80004</t>
  </si>
  <si>
    <t>MONTAGEM DO QUADRO ELETRICO</t>
  </si>
  <si>
    <t>SERV80005</t>
  </si>
  <si>
    <t xml:space="preserve">Execucao </t>
  </si>
  <si>
    <t>Projeto</t>
  </si>
  <si>
    <t>PROJETO EXECUTIVO</t>
  </si>
  <si>
    <t>segmento</t>
  </si>
  <si>
    <t>Aquecimento piscina</t>
  </si>
  <si>
    <t>Equipamentos</t>
  </si>
  <si>
    <t>Servicos</t>
  </si>
  <si>
    <t>descricao para proposta</t>
  </si>
  <si>
    <t>Motobombas</t>
  </si>
  <si>
    <t>Motobomba 2,5m³/h</t>
  </si>
  <si>
    <t>Motobomba 4,5m³/h</t>
  </si>
  <si>
    <t>Motobomba 5,5m³/h</t>
  </si>
  <si>
    <t>Motobomba 6,5m³/h</t>
  </si>
  <si>
    <t>Motobomba 9,0m³/h</t>
  </si>
  <si>
    <t>Motobomba 10,0m³/h</t>
  </si>
  <si>
    <t>MBP25</t>
  </si>
  <si>
    <t>MBP45</t>
  </si>
  <si>
    <t>MBP55</t>
  </si>
  <si>
    <t>MBP65</t>
  </si>
  <si>
    <t>MBP90</t>
  </si>
  <si>
    <t>MBP100</t>
  </si>
  <si>
    <t>Motobomba c/ pré filtro vazao 2,5m³/h</t>
  </si>
  <si>
    <t>Motobomba c/ pré filtro vazao 4,5m³/h</t>
  </si>
  <si>
    <t>Motobomba c/ pré filtro vazao 5,5m³/h</t>
  </si>
  <si>
    <t>Motobomba c/ pré filtro vazao 6,5m³/h</t>
  </si>
  <si>
    <t>Motobomba c/ pré filtro vazao 9,0m³/h</t>
  </si>
  <si>
    <t>Motobomba c/ pré filtro vazao 10,0m³/h</t>
  </si>
  <si>
    <t>Bomba de calor inverter
Capacidade térmica de (buscar informacao) kW
(buscar informacao) kWh
 Nível de ruido ≤ 43 dB(A)</t>
  </si>
  <si>
    <t>Bomba de calor inverter
Capacidade térmica de (buscar informacao) kW
(buscar informacao) kWh
 Nível de ruido ≤ 46 dB(A)</t>
  </si>
  <si>
    <t>Bomba de calor inverter
Capacidade térmica de (buscar informacao) kW
(buscar informacao) kWh
 Nível de ruido ≤ 48 dB(A)</t>
  </si>
  <si>
    <t xml:space="preserve">Projeto executivo sistema de aquecimento piscina Detalhamento da alocação dos equipamentos 
Detalhamento hidráulico e elétrico para 
instalação dos equipamentos </t>
  </si>
  <si>
    <t>Montagem do quadro elétrico para o sistema de aquecimento piscina, incluso os materiais para instalação como disjuntores, DRs, DPS, cabos e tomadas e configuração</t>
  </si>
  <si>
    <t>Instalação dos equipamentos sistema de aquecimento piscina
bomba de calor
Incluso os materiais para instalação como
conexões e tubos, registros</t>
  </si>
  <si>
    <t>Instalação motobomba para o sistema de aquecimento piscina, incluso os materiais para instalação como conexões, tubos, registros, válvulas</t>
  </si>
  <si>
    <t xml:space="preserve">Aquecimento Residencia </t>
  </si>
  <si>
    <t xml:space="preserve">Reservatorio </t>
  </si>
  <si>
    <t>0601872637</t>
  </si>
  <si>
    <t>AQUEC SOLAR BP 1000L INOX 316 SOL. 0094-25</t>
  </si>
  <si>
    <t>Reservatório térmico 1.000L aço inox 316
c/ 06 saídas 
c/ 02 poco térmico 
c/ resistor de 12.000W</t>
  </si>
  <si>
    <t>Volume (litros)</t>
  </si>
  <si>
    <t>Potencia resistencia (kW)</t>
  </si>
  <si>
    <t>0601872520</t>
  </si>
  <si>
    <t>AQUEC SOLAR BP 800L INOX 316 - SOL. 0281-24</t>
  </si>
  <si>
    <t>Reservatório térmico 800L aço inox 316
c/ 06 saídas 
c/ 02 poco térmico 
c/ resistor de 10.000W</t>
  </si>
  <si>
    <t>0601872513</t>
  </si>
  <si>
    <t>AQUEC SOLAR BP 600L INOX 316 - SOL. 0229-24</t>
  </si>
  <si>
    <t>Reservatório térmico 600L aço inox 316
c/ 06 saídas 
c/ 02 poco térmico 
c/ resistor de 6.000W</t>
  </si>
  <si>
    <t>0601872354</t>
  </si>
  <si>
    <t>AQUEC SOLAR BP 500L INOX 316 - SOL. 0251-21</t>
  </si>
  <si>
    <t>Reservatório térmico 500L aço inox 316
c/ 06 saídas 
c/ 02 poco térmico 
c/ resistor de 6.000W</t>
  </si>
  <si>
    <t>0601861600</t>
  </si>
  <si>
    <t>COLETOR SOLAR TUBO VACUO ACOPLADO KOCSRT TV 30BP 316</t>
  </si>
  <si>
    <t>Reservatório térmico 300L 
modelo acoplado aço inox 316
c/ resistor de 1,500W 
c/ 30 tubos a vácuo 
c/ eficiência energética de 88% (Inmetro)
c/ produção média mensal de ( buscar informacao nos calculos) kWh/mês</t>
  </si>
  <si>
    <t>Reservatório térmico 200L 
modelo acoplado aço inox 316
c/ resistor de 1,500W 
c/ 30 tubos a vácuo 
c/ eficiência energética de 88% (Inmetro)
c/ produção média mensal de ( buscar informacao nos calculos) kWh/mês</t>
  </si>
  <si>
    <t>0601861599</t>
  </si>
  <si>
    <t>COLETOR SOLAR TUBO VACUO ACOPLADO KOCSRT TV 20BP 316</t>
  </si>
  <si>
    <t>Controlador digital</t>
  </si>
  <si>
    <t>0601861611</t>
  </si>
  <si>
    <t>CONTROLADOR DIGITAL PARA COLETOR SOLAR ACOPLADO</t>
  </si>
  <si>
    <t>controlador digital  para automacao da resistencia,  com sensor e valvula solenoide</t>
  </si>
  <si>
    <t>0601923364</t>
  </si>
  <si>
    <t>SOLAR IOT KOMECO</t>
  </si>
  <si>
    <t xml:space="preserve">controlador digital  para automacao da resistencia, circulacao de rede...  com sensor temperatura </t>
  </si>
  <si>
    <t>Coletor solar</t>
  </si>
  <si>
    <t>0601861605</t>
  </si>
  <si>
    <t>COLETOR SOLAR TUBO VACUO KOCS TV 30BP 316 G4</t>
  </si>
  <si>
    <t>0601861603</t>
  </si>
  <si>
    <t>COLETOR SOLAR TUBO VACUO KOCS TV 15BP 316 G4</t>
  </si>
  <si>
    <t>Area do coletor (m²)</t>
  </si>
  <si>
    <t>Producao media do coletor PMDEE (kWh/m².dia)</t>
  </si>
  <si>
    <t>0601861604</t>
  </si>
  <si>
    <t>COLETOR SOLAR TUBO VACUO KOCS TV 20BP 316 G4</t>
  </si>
  <si>
    <t xml:space="preserve">Coletor solar tubo a vácuo 15 tubos c/ eficiência energética de 88% (Inmetro)
 c/ produção média mensal estimada de (buscar dados no calculo) kWh/mês 
Fração solar de (buscar dados no calculo) % </t>
  </si>
  <si>
    <t xml:space="preserve">Coletor solar tubo a vácuo 20 tubos c/ eficiência energética de 88% (Inmetro)
 c/ produção média mensal estimada de (buscar dados no calculo) kWh/mês 
Fração solar de (buscar dados no calculo) % </t>
  </si>
  <si>
    <t xml:space="preserve">Coletor solar tubo a vácuo 30 tubos c/ eficiência energética de 88% (Inmetro)
 c/ produção média mensal estimada de (buscar dados no calculo) kWh/mês 
Fração solar de (buscar dados no calculo) % </t>
  </si>
  <si>
    <t xml:space="preserve">Coletor solar tubo a vácuo 45 tubos c/ eficiência energética de 88% (Inmetro)
 c/ produção média mensal estimada de (buscar dados no calculo) kWh/mês 
Fração solar de (buscar dados no calculo) % </t>
  </si>
  <si>
    <t>0601861605 + 0601861604</t>
  </si>
  <si>
    <t>0601861605 + 0601861603</t>
  </si>
  <si>
    <t>COLETOR SOLAR TUBO VACUO KOCS TV 15BP 316 G4 + 30BP 316 G4</t>
  </si>
  <si>
    <t>COLETOR SOLAR TUBO VACUO KOCS TV 20BP 316 G4 + 30BP 316 G5</t>
  </si>
  <si>
    <t xml:space="preserve">Coletor solar tubo a vácuo 50 tubos c/ eficiência energética de 88% (Inmetro)
 c/ produção média mensal estimada de (buscar dados no calculo) kWh/mês 
Fração solar de (buscar dados no calculo) % </t>
  </si>
  <si>
    <t>COLETOR SOLAR TUBO VACUO KOCS TV 30BP 316 G4 (02 unidades)</t>
  </si>
  <si>
    <t xml:space="preserve">Coletor solar tubo a vácuo 60 tubos c/ eficiência energética de 88% (Inmetro)
 c/ produção média mensal estimada de (buscar dados no calculo) kWh/mês 
Fração solar de (buscar dados no calculo) % </t>
  </si>
  <si>
    <t>0601861604 x 02</t>
  </si>
  <si>
    <t>0601861605 x 02</t>
  </si>
  <si>
    <t>COLETOR SOLAR TUBO VACUO KOCS TV 20BP 316 G4 (02 unidades)</t>
  </si>
  <si>
    <t xml:space="preserve">Coletor solar tubo a vácuo 40 tubos c/ eficiência energética de 88% (Inmetro)
 c/ produção média mensal estimada de (buscar dados no calculo) kWh/mês 
Fração solar de (buscar dados no calculo) % </t>
  </si>
  <si>
    <t>0601861604 x 02 + 0601861605</t>
  </si>
  <si>
    <t>COLETOR SOLAR TUBO VACUO KOCS TV 20BP 316 G4 (02 unidades) + 30BP 316 G4</t>
  </si>
  <si>
    <t xml:space="preserve">Coletor solar tubo a vácuo 70 tubos c/ eficiência energética de 88% (Inmetro)
 c/ produção média mensal estimada de (buscar dados no calculo) kWh/mês 
Fração solar de (buscar dados no calculo) % </t>
  </si>
  <si>
    <t xml:space="preserve">Coletor solar tubo a vácuo 75 tubos c/ eficiência energética de 88% (Inmetro)
 c/ produção média mensal estimada de (buscar dados no calculo) kWh/mês 
Fração solar de (buscar dados no calculo) % </t>
  </si>
  <si>
    <t>0601861605 x 02 + 0601861603</t>
  </si>
  <si>
    <t>COLETOR SOLAR TUBO VACUO KOCS TV 30BP 316 G4 (02 unidades) + 15BP 316 G4</t>
  </si>
  <si>
    <t>0601861604 x 04</t>
  </si>
  <si>
    <t>COLETOR SOLAR TUBO VACUO KOCS TV 20BP 316 G4 (04 unidades)</t>
  </si>
  <si>
    <t xml:space="preserve">Coletor solar tubo a vácuo 80 tubos c/ eficiência energética de 88% (Inmetro)
 c/ produção média mensal estimada de (buscar dados no calculo) kWh/mês 
Fração solar de (buscar dados no calculo) % </t>
  </si>
  <si>
    <t>0601861605 x 02 + 0601861603 x 02</t>
  </si>
  <si>
    <t xml:space="preserve">Coletor solar tubo a vácuo 90 tubos c/ eficiência energética de 88% (Inmetro)
 c/ produção média mensal estimada de (buscar dados no calculo) kWh/mês 
Fração solar de (buscar dados no calculo) % </t>
  </si>
  <si>
    <t>COLETOR SOLAR TUBO VACUO KOCS TV 15BP 316 G4 + 30BP 316 G4 (x02 unidades cada)</t>
  </si>
  <si>
    <t xml:space="preserve">Coletor solar tubo a vácuo 100 tubos c/ eficiência energética de 88% (Inmetro)
 c/ produção média mensal estimada de (buscar dados no calculo) kWh/mês 
Fração solar de (buscar dados no calculo) % </t>
  </si>
  <si>
    <t>0601861605 x 02 + 0601861604 x 02</t>
  </si>
  <si>
    <t>COLETOR SOLAR TUBO VACUO KOCS TV 20BP 316 G4 + 30BP 316 G5 (x02 unidades cada)</t>
  </si>
  <si>
    <t>0601861605 x 04</t>
  </si>
  <si>
    <t xml:space="preserve">Coletor solar tubo a vácuo 120 tubos c/ eficiência energética de 88% (Inmetro)
 c/ produção média mensal estimada de (buscar dados no calculo) kWh/mês 
Fração solar de (buscar dados no calculo) % </t>
  </si>
  <si>
    <t>Aquecedor a gás</t>
  </si>
  <si>
    <t>AQUEC AUT KO 16DI PRIME 1IFLP1</t>
  </si>
  <si>
    <t>0100012370</t>
  </si>
  <si>
    <t>0100012374</t>
  </si>
  <si>
    <t xml:space="preserve">	0100012281</t>
  </si>
  <si>
    <t>0100012287</t>
  </si>
  <si>
    <t>0100012314</t>
  </si>
  <si>
    <t>0100012394</t>
  </si>
  <si>
    <t>AQUEC AUT KO 21DI PRIME 1IFLP1</t>
  </si>
  <si>
    <t>AQUEC AUT KO 26DI PRIME WIFI 1IFLP1</t>
  </si>
  <si>
    <t>AQUEC AUT KO 33DI PRIME 1IFLP1</t>
  </si>
  <si>
    <t>AQUEC AUT KO 38DI PRIME WIFI 1IFLP1</t>
  </si>
  <si>
    <t>AQUEC AUT KO 46DI PRIME WIFI 1IFLP1</t>
  </si>
  <si>
    <t xml:space="preserve">Aquecedor a gás 53.000kcal/h (61,6kW) 883kcal/min
 Consumo médio de gás (buscar dados calculo)kg/dia </t>
  </si>
  <si>
    <t xml:space="preserve">Aquecedor a gás 21.930kcal/h (25,5kW) 365,5kcal/min
 Consumo médio de gás (buscar dados calculo)kg/dia </t>
  </si>
  <si>
    <t>Potência nominal (kcal/h)</t>
  </si>
  <si>
    <t>Eficiencia aquecedor (%)</t>
  </si>
  <si>
    <t>Tipo do gás</t>
  </si>
  <si>
    <t>GLP</t>
  </si>
  <si>
    <t xml:space="preserve">Aquecedor a gás 29.756kcal/h (34,6kW) 495,9kcal/min
 Consumo médio de gás (buscar dados calculo)kg/dia </t>
  </si>
  <si>
    <t xml:space="preserve">Aquecedor a gás 36.500 kcal/h (608kcal/min) (42,4 kW)
 Consumo médio de gás (buscar dados calculo)kg/dia </t>
  </si>
  <si>
    <t xml:space="preserve">Aquecedor a gás 44.890 kcal/h (748kcal/min) (52,2 kW)
 Consumo médio de gás (buscar dados calculo)kg/dia </t>
  </si>
  <si>
    <t xml:space="preserve">Aquecedor a gás 65.000 kcal/h  (75,6 kW) 1.083 kcal/min
 Consumo médio de gás (buscar dados calculo)kg/dia </t>
  </si>
  <si>
    <t>0100022781</t>
  </si>
  <si>
    <t>PLACA DE CONTROLE  ELETR SISTEMA CASCATA</t>
  </si>
  <si>
    <t>0100013291</t>
  </si>
  <si>
    <t>AQUEC AUT KO  38DI PRIME CT 1IFLP1 (SISTEMA CASCATA)</t>
  </si>
  <si>
    <t xml:space="preserve">Placa de controle sistema  cascata </t>
  </si>
  <si>
    <t xml:space="preserve">Aquecedor a gás 53.000kcal/h (61,6kW) 883kcal/min
 Consumo médio de gás (buscar dados calculo)kg/dia Preparado para sistema cascata </t>
  </si>
  <si>
    <t>0100022782</t>
  </si>
  <si>
    <t>CONTROLE REMOTO C/  FIO SISTEMA CASCATA</t>
  </si>
  <si>
    <t xml:space="preserve">Painel de controle sistema  cascata </t>
  </si>
  <si>
    <t>Reservatório térmico 800L aço inox 316
c/ 06 saídas 
c/ 02 poco térmico 
c/ resistor de 12.000W</t>
  </si>
  <si>
    <t>0601872678</t>
  </si>
  <si>
    <t>AQUEC SOLAR BP 800L INOX 316 - SOL. 0416-25</t>
  </si>
  <si>
    <t>0100032879</t>
  </si>
  <si>
    <t>BOMBA INVERSORA SMARTPRESS 32</t>
  </si>
  <si>
    <t>Pressurizador</t>
  </si>
  <si>
    <t>Pressurizador vazão de 90 litros/minuto
c/ pressão de 15 m.c.a.
c/ nível de ruido 60dB</t>
  </si>
  <si>
    <t>Pressurizador vazão de 48 litros/minuto
c/ pressão de 15 m.c.a.
c/ nível de ruido 48dB</t>
  </si>
  <si>
    <t>BOMBA INVERSORA SMARTPRESS 37</t>
  </si>
  <si>
    <t>Vazao c/ pressao de 15mca (litros/minutos)</t>
  </si>
  <si>
    <t>0100032623</t>
  </si>
  <si>
    <t>Bombas de circulacao</t>
  </si>
  <si>
    <t>0100032845</t>
  </si>
  <si>
    <t>CIRCULADOR DE AGUA TP20 BRONZE 220V</t>
  </si>
  <si>
    <t>Bomba circulação vazão de 30 litros/minuto
c/ pressão de 4 m.c.a.</t>
  </si>
  <si>
    <t>0100032358</t>
  </si>
  <si>
    <t>BOMBA CIRCULADORA TP 120 G1 BRONZE 220V/60HZ - 350W</t>
  </si>
  <si>
    <t>Bomba circulação vazão de 30 litros/minuto
c/ pressão de 10 m.c.a.</t>
  </si>
  <si>
    <t>Kit pressurizacao indireto</t>
  </si>
  <si>
    <t>0100032441</t>
  </si>
  <si>
    <t>BOMBA CENTRIFUGA EVVOLUTION EVVO 120 3/4CV 220V</t>
  </si>
  <si>
    <t xml:space="preserve">Sistema pressurizacao consumo indireto  Pressurizador + trocador de calor + bomba do trocador + fluxostato, sistema com capacidade de elevacao temperatura  20 °C  com vazão simultanea de 90 litros/minuto
</t>
  </si>
  <si>
    <t>BOMBA INVERSORA SMARTPRESS 37 + BOMBA CENTRIFUGA EVVOLUTION EVVO 120 3/4CV 220V + TROC.CALOR C/SOLDA FRICCAO 500/40 PL.-SPE + Fluxostato BemaFlux Embolo 1</t>
  </si>
  <si>
    <t>0100032623 + 0100032441 + 02709235Z + Embolo</t>
  </si>
  <si>
    <t xml:space="preserve">vazão simultanea com capacidade de elevacao temperatura  20 °C </t>
  </si>
  <si>
    <t>BOMBA INVERSORA SMARTPRESS 37 + BOMBA CENTRIFUGA EVVOLUTION EVVO 120 3/4CV 220V + TROC.CALOR C/SOLDA FRICCAO 500/30 PL.-SPE + Fluxostato BemaFlux Embolo 2</t>
  </si>
  <si>
    <t>0100032623 + 0100032441 + 02709233Z + Embolo</t>
  </si>
  <si>
    <t xml:space="preserve">Sistema pressurizacao consumo indireto  Pressurizador + trocador de calor + bomba do trocador + fluxostato, sistema com capacidade de elevacao temperatura  20 °C  com vazão simultanea de 75 litros/minuto
</t>
  </si>
  <si>
    <t xml:space="preserve">Sistema pressurizacao consumo indireto  Pressurizador + trocador de calor + bomba do trocador + fluxostato, sistema com capacidade de elevacao temperatura  20 °C  com vazão simultanea de 60 litros/minuto
</t>
  </si>
  <si>
    <t xml:space="preserve">BOMBA INVERSORA SMARTPRESS 37 + BOMBA CIRCULADORA TP 120 G1 BRONZE 220V/60HZ - 350W + TROC.CALOR C/SOLDA FRICCAO 500/30 PL.-SPE </t>
  </si>
  <si>
    <t xml:space="preserve">0100032623 + 0100032358 + 02709233Z </t>
  </si>
  <si>
    <t xml:space="preserve">BOMBA INVERSORA SMARTPRESS 37 + BOMBA CIRCULADORA TP 120 G1 BRONZE 220V/60HZ - 350W + TROC.CALOR C/SOLDA FRICCAO 524/20 PL.-SPE </t>
  </si>
  <si>
    <t>0100032623 + 0100032358 + 02709231</t>
  </si>
  <si>
    <t>0100032879 + 0100032358 + 02709232</t>
  </si>
  <si>
    <t xml:space="preserve">BOMBA INVERSORA SMARTPRESS 32 + BOMBA CIRCULADORA TP 120 G1 BRONZE 220V/60HZ - 350W + TROC.CALOR C/SOLDA FRICCAO 524/20 PL.-SPE </t>
  </si>
  <si>
    <t xml:space="preserve">BOMBA INVERSORA SMARTPRESS 32 + BOMBA CIRCULADORA TP 120 G1 BRONZE 220V/60HZ - 350W + TROC.CALOR C/SOLDA FRICCAO 315/40 PL.-SPE </t>
  </si>
  <si>
    <t>0100032879 + 0100032358 + 02709228</t>
  </si>
  <si>
    <t xml:space="preserve">Sistema pressurizacao consumo indireto  Pressurizador + trocador de calor + bomba do trocador + fluxostato, sistema com capacidade de elevacao temperatura  20 °C  com vazão simultanea de 40 litros/minuto
</t>
  </si>
  <si>
    <t xml:space="preserve">Sistema pressurizacao consumo indireto  Pressurizador + trocador de calor + bomba do trocador + fluxostato, sistema com capacidade de elevacao temperatura  20 °C  com vazão simultanea de 52 litros/minuto
</t>
  </si>
  <si>
    <t xml:space="preserve">Sistema pressurizacao consumo indireto  Pressurizador + trocador de calor + bomba do trocador + fluxostato, sistema com capacidade de elevacao temperatura  20 °C  com vazão simultanea de 45 litros/minuto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</si>
</sst>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3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69B3-057B-4A4E-95C7-C71229AEE2ED}">
  <dimension ref="A1:V59"/>
  <sheetViews>
    <sheetView tabSelected="1" topLeftCell="O59" workbookViewId="0">
      <selection activeCell="T54" sqref="T54:T59"/>
    </sheetView>
  </sheetViews>
  <sheetFormatPr defaultRowHeight="14.4" x14ac:dyDescent="0.3"/>
  <cols>
    <col min="1" max="1" width="21.5546875" bestFit="1" customWidth="1"/>
    <col min="2" max="2" width="31.5546875" customWidth="1"/>
    <col min="3" max="3" width="19.77734375" customWidth="1"/>
    <col min="4" max="4" width="12.5546875" bestFit="1" customWidth="1"/>
    <col min="5" max="5" width="38.33203125" bestFit="1" customWidth="1"/>
    <col min="6" max="6" width="21.109375" customWidth="1"/>
    <col min="7" max="8" width="56.109375" bestFit="1" customWidth="1"/>
    <col min="9" max="10" width="56.21875" bestFit="1" customWidth="1"/>
    <col min="11" max="11" width="28.6640625" bestFit="1" customWidth="1"/>
    <col min="12" max="20" width="28.6640625" customWidth="1"/>
    <col min="21" max="21" width="13.6640625" bestFit="1" customWidth="1"/>
    <col min="22" max="22" width="12.33203125" bestFit="1" customWidth="1"/>
  </cols>
  <sheetData>
    <row r="1" spans="1:22" x14ac:dyDescent="0.3">
      <c r="A1" t="s">
        <v>28</v>
      </c>
      <c r="B1" t="s">
        <v>2</v>
      </c>
      <c r="C1" t="s">
        <v>3</v>
      </c>
      <c r="D1" t="s">
        <v>0</v>
      </c>
      <c r="E1" t="s">
        <v>1</v>
      </c>
      <c r="F1" t="s">
        <v>32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64</v>
      </c>
      <c r="M1" t="s">
        <v>65</v>
      </c>
      <c r="N1" t="s">
        <v>93</v>
      </c>
      <c r="O1" t="s">
        <v>94</v>
      </c>
      <c r="P1" t="s">
        <v>144</v>
      </c>
      <c r="Q1" t="s">
        <v>145</v>
      </c>
      <c r="R1" t="s">
        <v>146</v>
      </c>
      <c r="S1" t="s">
        <v>170</v>
      </c>
      <c r="T1" t="s">
        <v>185</v>
      </c>
      <c r="U1" t="s">
        <v>16</v>
      </c>
      <c r="V1" t="s">
        <v>17</v>
      </c>
    </row>
    <row r="2" spans="1:22" ht="86.4" x14ac:dyDescent="0.3">
      <c r="A2" t="s">
        <v>29</v>
      </c>
      <c r="B2" t="s">
        <v>30</v>
      </c>
      <c r="C2" t="s">
        <v>10</v>
      </c>
      <c r="D2">
        <v>3502480001</v>
      </c>
      <c r="E2" t="s">
        <v>4</v>
      </c>
      <c r="F2" s="3" t="s">
        <v>52</v>
      </c>
      <c r="G2">
        <v>7.6189999999999998</v>
      </c>
      <c r="H2">
        <v>5.8609999999999998</v>
      </c>
      <c r="I2">
        <v>1.1000000000000001</v>
      </c>
      <c r="J2">
        <v>1.1599999999999999</v>
      </c>
      <c r="K2">
        <v>2.5</v>
      </c>
      <c r="U2" s="2">
        <v>7200</v>
      </c>
      <c r="V2" s="1">
        <f>U2*1.65</f>
        <v>11880</v>
      </c>
    </row>
    <row r="3" spans="1:22" ht="86.4" x14ac:dyDescent="0.3">
      <c r="A3" t="s">
        <v>29</v>
      </c>
      <c r="B3" t="s">
        <v>30</v>
      </c>
      <c r="C3" t="s">
        <v>10</v>
      </c>
      <c r="D3">
        <v>3502480003</v>
      </c>
      <c r="E3" t="s">
        <v>5</v>
      </c>
      <c r="F3" s="3" t="s">
        <v>53</v>
      </c>
      <c r="G3">
        <v>13.188000000000001</v>
      </c>
      <c r="H3">
        <v>9.6709999999999994</v>
      </c>
      <c r="I3">
        <v>1.88</v>
      </c>
      <c r="J3">
        <v>1.95</v>
      </c>
      <c r="K3">
        <v>4.5</v>
      </c>
      <c r="U3" s="2">
        <v>9100</v>
      </c>
      <c r="V3" s="1">
        <f t="shared" ref="V3:V18" si="0">U3*1.65</f>
        <v>15015</v>
      </c>
    </row>
    <row r="4" spans="1:22" ht="86.4" x14ac:dyDescent="0.3">
      <c r="A4" t="s">
        <v>29</v>
      </c>
      <c r="B4" t="s">
        <v>30</v>
      </c>
      <c r="C4" t="s">
        <v>10</v>
      </c>
      <c r="D4">
        <v>3502480004</v>
      </c>
      <c r="E4" t="s">
        <v>6</v>
      </c>
      <c r="F4" s="3" t="s">
        <v>53</v>
      </c>
      <c r="G4">
        <v>16.411000000000001</v>
      </c>
      <c r="H4">
        <v>12.602</v>
      </c>
      <c r="I4">
        <v>2.38</v>
      </c>
      <c r="J4">
        <v>2.54</v>
      </c>
      <c r="K4">
        <v>5.5</v>
      </c>
      <c r="U4" s="2">
        <v>10300</v>
      </c>
      <c r="V4" s="1">
        <f t="shared" si="0"/>
        <v>16995</v>
      </c>
    </row>
    <row r="5" spans="1:22" ht="86.4" x14ac:dyDescent="0.3">
      <c r="A5" t="s">
        <v>29</v>
      </c>
      <c r="B5" t="s">
        <v>30</v>
      </c>
      <c r="C5" t="s">
        <v>10</v>
      </c>
      <c r="D5">
        <v>3502480005</v>
      </c>
      <c r="E5" t="s">
        <v>7</v>
      </c>
      <c r="F5" s="3" t="s">
        <v>53</v>
      </c>
      <c r="G5">
        <v>21.100999999999999</v>
      </c>
      <c r="H5">
        <v>15.824999999999999</v>
      </c>
      <c r="I5">
        <v>3.03</v>
      </c>
      <c r="J5">
        <v>3.18</v>
      </c>
      <c r="K5">
        <v>6.5</v>
      </c>
      <c r="U5" s="2">
        <v>11600</v>
      </c>
      <c r="V5" s="1">
        <f t="shared" si="0"/>
        <v>19140</v>
      </c>
    </row>
    <row r="6" spans="1:22" ht="86.4" x14ac:dyDescent="0.3">
      <c r="A6" t="s">
        <v>29</v>
      </c>
      <c r="B6" t="s">
        <v>30</v>
      </c>
      <c r="C6" t="s">
        <v>10</v>
      </c>
      <c r="D6">
        <v>3502480006</v>
      </c>
      <c r="E6" t="s">
        <v>9</v>
      </c>
      <c r="F6" s="3" t="s">
        <v>54</v>
      </c>
      <c r="G6">
        <v>28.135000000000002</v>
      </c>
      <c r="H6">
        <v>20.515000000000001</v>
      </c>
      <c r="I6">
        <v>4.0599999999999996</v>
      </c>
      <c r="J6">
        <v>4.17</v>
      </c>
      <c r="K6">
        <v>9</v>
      </c>
      <c r="U6" s="2">
        <v>14600</v>
      </c>
      <c r="V6" s="1">
        <f t="shared" si="0"/>
        <v>24090</v>
      </c>
    </row>
    <row r="7" spans="1:22" ht="86.4" x14ac:dyDescent="0.3">
      <c r="A7" t="s">
        <v>29</v>
      </c>
      <c r="B7" t="s">
        <v>30</v>
      </c>
      <c r="C7" t="s">
        <v>10</v>
      </c>
      <c r="D7">
        <v>3502480007</v>
      </c>
      <c r="E7" t="s">
        <v>8</v>
      </c>
      <c r="F7" s="3" t="s">
        <v>54</v>
      </c>
      <c r="G7">
        <v>34.152000000000001</v>
      </c>
      <c r="H7">
        <v>23.445</v>
      </c>
      <c r="I7">
        <v>4.3</v>
      </c>
      <c r="J7">
        <v>4.43</v>
      </c>
      <c r="K7">
        <v>10</v>
      </c>
      <c r="U7" s="2">
        <v>18200</v>
      </c>
      <c r="V7" s="1">
        <f t="shared" si="0"/>
        <v>30030</v>
      </c>
    </row>
    <row r="8" spans="1:22" ht="28.8" x14ac:dyDescent="0.3">
      <c r="A8" t="s">
        <v>29</v>
      </c>
      <c r="B8" t="s">
        <v>30</v>
      </c>
      <c r="C8" t="s">
        <v>33</v>
      </c>
      <c r="D8" t="s">
        <v>40</v>
      </c>
      <c r="E8" t="s">
        <v>34</v>
      </c>
      <c r="F8" s="3" t="s">
        <v>46</v>
      </c>
      <c r="U8" s="1">
        <v>600</v>
      </c>
      <c r="V8" s="1">
        <f t="shared" si="0"/>
        <v>990</v>
      </c>
    </row>
    <row r="9" spans="1:22" ht="28.8" x14ac:dyDescent="0.3">
      <c r="A9" t="s">
        <v>29</v>
      </c>
      <c r="B9" t="s">
        <v>30</v>
      </c>
      <c r="C9" t="s">
        <v>33</v>
      </c>
      <c r="D9" t="s">
        <v>41</v>
      </c>
      <c r="E9" t="s">
        <v>35</v>
      </c>
      <c r="F9" s="3" t="s">
        <v>47</v>
      </c>
      <c r="U9" s="1">
        <v>620</v>
      </c>
      <c r="V9" s="1">
        <f t="shared" si="0"/>
        <v>1023</v>
      </c>
    </row>
    <row r="10" spans="1:22" ht="28.8" x14ac:dyDescent="0.3">
      <c r="A10" t="s">
        <v>29</v>
      </c>
      <c r="B10" t="s">
        <v>30</v>
      </c>
      <c r="C10" t="s">
        <v>33</v>
      </c>
      <c r="D10" t="s">
        <v>42</v>
      </c>
      <c r="E10" t="s">
        <v>36</v>
      </c>
      <c r="F10" s="3" t="s">
        <v>48</v>
      </c>
      <c r="U10" s="1">
        <v>640</v>
      </c>
      <c r="V10" s="1">
        <f t="shared" si="0"/>
        <v>1056</v>
      </c>
    </row>
    <row r="11" spans="1:22" ht="28.8" x14ac:dyDescent="0.3">
      <c r="A11" t="s">
        <v>29</v>
      </c>
      <c r="B11" t="s">
        <v>30</v>
      </c>
      <c r="C11" t="s">
        <v>33</v>
      </c>
      <c r="D11" t="s">
        <v>43</v>
      </c>
      <c r="E11" t="s">
        <v>37</v>
      </c>
      <c r="F11" s="3" t="s">
        <v>49</v>
      </c>
      <c r="U11">
        <v>660</v>
      </c>
      <c r="V11" s="1">
        <f t="shared" si="0"/>
        <v>1089</v>
      </c>
    </row>
    <row r="12" spans="1:22" ht="28.8" x14ac:dyDescent="0.3">
      <c r="A12" t="s">
        <v>29</v>
      </c>
      <c r="B12" t="s">
        <v>30</v>
      </c>
      <c r="C12" t="s">
        <v>33</v>
      </c>
      <c r="D12" t="s">
        <v>44</v>
      </c>
      <c r="E12" t="s">
        <v>38</v>
      </c>
      <c r="F12" s="3" t="s">
        <v>50</v>
      </c>
      <c r="U12">
        <v>680</v>
      </c>
      <c r="V12" s="1">
        <f t="shared" si="0"/>
        <v>1122</v>
      </c>
    </row>
    <row r="13" spans="1:22" ht="28.8" x14ac:dyDescent="0.3">
      <c r="A13" t="s">
        <v>29</v>
      </c>
      <c r="B13" t="s">
        <v>30</v>
      </c>
      <c r="C13" t="s">
        <v>33</v>
      </c>
      <c r="D13" t="s">
        <v>45</v>
      </c>
      <c r="E13" t="s">
        <v>39</v>
      </c>
      <c r="F13" s="3" t="s">
        <v>51</v>
      </c>
      <c r="U13">
        <v>720</v>
      </c>
      <c r="V13" s="1">
        <f t="shared" si="0"/>
        <v>1188</v>
      </c>
    </row>
    <row r="14" spans="1:22" ht="115.2" x14ac:dyDescent="0.3">
      <c r="A14" t="s">
        <v>29</v>
      </c>
      <c r="B14" t="s">
        <v>31</v>
      </c>
      <c r="C14" t="s">
        <v>25</v>
      </c>
      <c r="D14" t="s">
        <v>18</v>
      </c>
      <c r="E14" t="s">
        <v>19</v>
      </c>
      <c r="F14" s="3" t="s">
        <v>57</v>
      </c>
      <c r="U14">
        <v>1500</v>
      </c>
      <c r="V14" s="1">
        <f t="shared" si="0"/>
        <v>2475</v>
      </c>
    </row>
    <row r="15" spans="1:22" ht="100.8" x14ac:dyDescent="0.3">
      <c r="A15" t="s">
        <v>29</v>
      </c>
      <c r="B15" t="s">
        <v>31</v>
      </c>
      <c r="C15" t="s">
        <v>25</v>
      </c>
      <c r="D15" t="s">
        <v>20</v>
      </c>
      <c r="E15" t="s">
        <v>21</v>
      </c>
      <c r="F15" s="3" t="s">
        <v>58</v>
      </c>
      <c r="U15">
        <v>500</v>
      </c>
      <c r="V15" s="1">
        <f t="shared" si="0"/>
        <v>825</v>
      </c>
    </row>
    <row r="16" spans="1:22" ht="115.2" x14ac:dyDescent="0.3">
      <c r="A16" t="s">
        <v>29</v>
      </c>
      <c r="B16" t="s">
        <v>31</v>
      </c>
      <c r="C16" t="s">
        <v>25</v>
      </c>
      <c r="D16" t="s">
        <v>22</v>
      </c>
      <c r="E16" t="s">
        <v>23</v>
      </c>
      <c r="F16" s="3" t="s">
        <v>56</v>
      </c>
      <c r="U16">
        <v>1500</v>
      </c>
      <c r="V16" s="1">
        <f t="shared" si="0"/>
        <v>2475</v>
      </c>
    </row>
    <row r="17" spans="1:22" ht="129.6" x14ac:dyDescent="0.3">
      <c r="A17" t="s">
        <v>29</v>
      </c>
      <c r="B17" t="s">
        <v>31</v>
      </c>
      <c r="C17" t="s">
        <v>26</v>
      </c>
      <c r="D17" t="s">
        <v>24</v>
      </c>
      <c r="E17" t="s">
        <v>27</v>
      </c>
      <c r="F17" s="3" t="s">
        <v>55</v>
      </c>
      <c r="U17">
        <v>1818.181818</v>
      </c>
      <c r="V17" s="1">
        <f t="shared" si="0"/>
        <v>2999.9999997</v>
      </c>
    </row>
    <row r="18" spans="1:22" ht="72" x14ac:dyDescent="0.3">
      <c r="A18" t="s">
        <v>59</v>
      </c>
      <c r="B18" t="s">
        <v>30</v>
      </c>
      <c r="C18" t="s">
        <v>60</v>
      </c>
      <c r="D18" s="4" t="s">
        <v>61</v>
      </c>
      <c r="E18" t="s">
        <v>62</v>
      </c>
      <c r="F18" s="3" t="s">
        <v>63</v>
      </c>
      <c r="L18">
        <v>1000</v>
      </c>
      <c r="M18">
        <v>12</v>
      </c>
      <c r="U18">
        <v>6300</v>
      </c>
      <c r="V18" s="1">
        <f t="shared" si="0"/>
        <v>10395</v>
      </c>
    </row>
    <row r="19" spans="1:22" ht="72" x14ac:dyDescent="0.3">
      <c r="A19" t="s">
        <v>59</v>
      </c>
      <c r="B19" t="s">
        <v>30</v>
      </c>
      <c r="C19" t="s">
        <v>60</v>
      </c>
      <c r="D19" s="4" t="s">
        <v>66</v>
      </c>
      <c r="E19" t="s">
        <v>67</v>
      </c>
      <c r="F19" s="3" t="s">
        <v>68</v>
      </c>
      <c r="L19">
        <v>800</v>
      </c>
      <c r="M19">
        <v>10</v>
      </c>
      <c r="U19">
        <v>4700</v>
      </c>
      <c r="V19" s="1">
        <f t="shared" ref="V19" si="1">U19*1.65</f>
        <v>7755</v>
      </c>
    </row>
    <row r="20" spans="1:22" ht="72" x14ac:dyDescent="0.3">
      <c r="A20" t="s">
        <v>59</v>
      </c>
      <c r="B20" t="s">
        <v>30</v>
      </c>
      <c r="C20" t="s">
        <v>60</v>
      </c>
      <c r="D20" s="4" t="s">
        <v>162</v>
      </c>
      <c r="E20" t="s">
        <v>163</v>
      </c>
      <c r="F20" s="3" t="s">
        <v>161</v>
      </c>
      <c r="L20">
        <v>800</v>
      </c>
      <c r="M20">
        <v>12</v>
      </c>
      <c r="U20">
        <v>4700</v>
      </c>
      <c r="V20" s="1">
        <f t="shared" ref="V20" si="2">U20*1.65</f>
        <v>7755</v>
      </c>
    </row>
    <row r="21" spans="1:22" ht="72" x14ac:dyDescent="0.3">
      <c r="A21" t="s">
        <v>59</v>
      </c>
      <c r="B21" t="s">
        <v>30</v>
      </c>
      <c r="C21" t="s">
        <v>60</v>
      </c>
      <c r="D21" s="4" t="s">
        <v>69</v>
      </c>
      <c r="E21" t="s">
        <v>70</v>
      </c>
      <c r="F21" s="3" t="s">
        <v>71</v>
      </c>
      <c r="L21">
        <v>600</v>
      </c>
      <c r="M21">
        <v>6</v>
      </c>
      <c r="U21">
        <v>3800</v>
      </c>
      <c r="V21" s="1">
        <f t="shared" ref="V21" si="3">U21*1.65</f>
        <v>6270</v>
      </c>
    </row>
    <row r="22" spans="1:22" ht="72" x14ac:dyDescent="0.3">
      <c r="A22" t="s">
        <v>59</v>
      </c>
      <c r="B22" t="s">
        <v>30</v>
      </c>
      <c r="C22" t="s">
        <v>60</v>
      </c>
      <c r="D22" s="4" t="s">
        <v>72</v>
      </c>
      <c r="E22" t="s">
        <v>73</v>
      </c>
      <c r="F22" s="3" t="s">
        <v>74</v>
      </c>
      <c r="L22">
        <v>500</v>
      </c>
      <c r="M22">
        <v>6</v>
      </c>
      <c r="U22">
        <v>3100</v>
      </c>
      <c r="V22" s="1">
        <f t="shared" ref="V22" si="4">U22*1.65</f>
        <v>5115</v>
      </c>
    </row>
    <row r="23" spans="1:22" ht="172.8" x14ac:dyDescent="0.3">
      <c r="A23" t="s">
        <v>59</v>
      </c>
      <c r="B23" t="s">
        <v>30</v>
      </c>
      <c r="C23" t="s">
        <v>60</v>
      </c>
      <c r="D23" s="4" t="s">
        <v>75</v>
      </c>
      <c r="E23" t="s">
        <v>76</v>
      </c>
      <c r="F23" s="3" t="s">
        <v>77</v>
      </c>
      <c r="L23">
        <v>300</v>
      </c>
      <c r="M23">
        <v>1.5</v>
      </c>
      <c r="U23">
        <v>3420</v>
      </c>
      <c r="V23" s="1">
        <f t="shared" ref="V23" si="5">U23*1.65</f>
        <v>5643</v>
      </c>
    </row>
    <row r="24" spans="1:22" ht="172.8" x14ac:dyDescent="0.3">
      <c r="A24" t="s">
        <v>59</v>
      </c>
      <c r="B24" t="s">
        <v>30</v>
      </c>
      <c r="C24" t="s">
        <v>60</v>
      </c>
      <c r="D24" s="4" t="s">
        <v>79</v>
      </c>
      <c r="E24" t="s">
        <v>80</v>
      </c>
      <c r="F24" s="3" t="s">
        <v>78</v>
      </c>
      <c r="L24">
        <v>200</v>
      </c>
      <c r="M24">
        <v>1.5</v>
      </c>
      <c r="U24">
        <v>2320</v>
      </c>
      <c r="V24" s="1">
        <f t="shared" ref="V24" si="6">U24*1.65</f>
        <v>3828</v>
      </c>
    </row>
    <row r="25" spans="1:22" ht="57.6" x14ac:dyDescent="0.3">
      <c r="A25" t="s">
        <v>59</v>
      </c>
      <c r="B25" t="s">
        <v>30</v>
      </c>
      <c r="C25" t="s">
        <v>81</v>
      </c>
      <c r="D25" s="4" t="s">
        <v>82</v>
      </c>
      <c r="E25" t="s">
        <v>83</v>
      </c>
      <c r="F25" s="3" t="s">
        <v>84</v>
      </c>
      <c r="U25">
        <v>390</v>
      </c>
      <c r="V25" s="1">
        <f t="shared" ref="V25" si="7">U25*1.65</f>
        <v>643.5</v>
      </c>
    </row>
    <row r="26" spans="1:22" ht="72" x14ac:dyDescent="0.3">
      <c r="A26" t="s">
        <v>59</v>
      </c>
      <c r="B26" t="s">
        <v>30</v>
      </c>
      <c r="C26" t="s">
        <v>81</v>
      </c>
      <c r="D26" s="4" t="s">
        <v>85</v>
      </c>
      <c r="E26" t="s">
        <v>86</v>
      </c>
      <c r="F26" s="3" t="s">
        <v>87</v>
      </c>
      <c r="U26">
        <v>600</v>
      </c>
      <c r="V26" s="1">
        <f t="shared" ref="V26" si="8">U26*1.65</f>
        <v>990</v>
      </c>
    </row>
    <row r="27" spans="1:22" ht="144" x14ac:dyDescent="0.3">
      <c r="A27" t="s">
        <v>59</v>
      </c>
      <c r="B27" t="s">
        <v>30</v>
      </c>
      <c r="C27" t="s">
        <v>88</v>
      </c>
      <c r="D27" s="4" t="s">
        <v>91</v>
      </c>
      <c r="E27" t="s">
        <v>92</v>
      </c>
      <c r="F27" s="3" t="s">
        <v>97</v>
      </c>
      <c r="N27">
        <v>2.2400000000000002</v>
      </c>
      <c r="O27">
        <v>3.37</v>
      </c>
      <c r="U27">
        <v>1300</v>
      </c>
      <c r="V27" s="1">
        <f t="shared" ref="V27" si="9">U27*1.65</f>
        <v>2145</v>
      </c>
    </row>
    <row r="28" spans="1:22" ht="144" x14ac:dyDescent="0.3">
      <c r="A28" t="s">
        <v>59</v>
      </c>
      <c r="B28" t="s">
        <v>30</v>
      </c>
      <c r="C28" t="s">
        <v>88</v>
      </c>
      <c r="D28" s="4" t="s">
        <v>95</v>
      </c>
      <c r="E28" t="s">
        <v>96</v>
      </c>
      <c r="F28" s="3" t="s">
        <v>98</v>
      </c>
      <c r="N28">
        <v>2.99</v>
      </c>
      <c r="O28">
        <v>3.37</v>
      </c>
      <c r="U28">
        <v>1600</v>
      </c>
      <c r="V28" s="1">
        <f t="shared" ref="V28:V31" si="10">U28*1.65</f>
        <v>2640</v>
      </c>
    </row>
    <row r="29" spans="1:22" ht="144" x14ac:dyDescent="0.3">
      <c r="A29" t="s">
        <v>59</v>
      </c>
      <c r="B29" t="s">
        <v>30</v>
      </c>
      <c r="C29" t="s">
        <v>88</v>
      </c>
      <c r="D29" s="4" t="s">
        <v>89</v>
      </c>
      <c r="E29" t="s">
        <v>90</v>
      </c>
      <c r="F29" s="3" t="s">
        <v>99</v>
      </c>
      <c r="N29">
        <v>4.6500000000000004</v>
      </c>
      <c r="O29">
        <v>3.37</v>
      </c>
      <c r="U29">
        <v>2200</v>
      </c>
      <c r="V29" s="1">
        <f t="shared" si="10"/>
        <v>3630</v>
      </c>
    </row>
    <row r="30" spans="1:22" ht="144" x14ac:dyDescent="0.3">
      <c r="A30" t="s">
        <v>59</v>
      </c>
      <c r="B30" t="s">
        <v>30</v>
      </c>
      <c r="C30" t="s">
        <v>88</v>
      </c>
      <c r="D30" s="4" t="s">
        <v>108</v>
      </c>
      <c r="E30" t="s">
        <v>110</v>
      </c>
      <c r="F30" s="3" t="s">
        <v>111</v>
      </c>
      <c r="N30">
        <v>5.98</v>
      </c>
      <c r="O30">
        <v>3.37</v>
      </c>
      <c r="U30">
        <v>3200</v>
      </c>
      <c r="V30" s="1">
        <f t="shared" ref="V30" si="11">U30*1.65</f>
        <v>5280</v>
      </c>
    </row>
    <row r="31" spans="1:22" ht="144" x14ac:dyDescent="0.3">
      <c r="A31" t="s">
        <v>59</v>
      </c>
      <c r="B31" t="s">
        <v>30</v>
      </c>
      <c r="C31" t="s">
        <v>88</v>
      </c>
      <c r="D31" s="4" t="s">
        <v>102</v>
      </c>
      <c r="E31" t="s">
        <v>103</v>
      </c>
      <c r="F31" s="3" t="s">
        <v>100</v>
      </c>
      <c r="N31">
        <v>6.72</v>
      </c>
      <c r="O31">
        <v>3.37</v>
      </c>
      <c r="U31">
        <v>3500</v>
      </c>
      <c r="V31" s="1">
        <f t="shared" si="10"/>
        <v>5775</v>
      </c>
    </row>
    <row r="32" spans="1:22" ht="144" x14ac:dyDescent="0.3">
      <c r="A32" t="s">
        <v>59</v>
      </c>
      <c r="B32" t="s">
        <v>30</v>
      </c>
      <c r="C32" t="s">
        <v>88</v>
      </c>
      <c r="D32" s="4" t="s">
        <v>101</v>
      </c>
      <c r="E32" t="s">
        <v>104</v>
      </c>
      <c r="F32" s="3" t="s">
        <v>105</v>
      </c>
      <c r="N32">
        <v>7.64</v>
      </c>
      <c r="O32">
        <v>3.37</v>
      </c>
      <c r="U32">
        <v>3800</v>
      </c>
      <c r="V32" s="1">
        <f t="shared" ref="V32:V34" si="12">U32*1.65</f>
        <v>6270</v>
      </c>
    </row>
    <row r="33" spans="1:22" ht="144" x14ac:dyDescent="0.3">
      <c r="A33" t="s">
        <v>59</v>
      </c>
      <c r="B33" t="s">
        <v>30</v>
      </c>
      <c r="C33" t="s">
        <v>88</v>
      </c>
      <c r="D33" s="4" t="s">
        <v>109</v>
      </c>
      <c r="E33" t="s">
        <v>106</v>
      </c>
      <c r="F33" s="3" t="s">
        <v>107</v>
      </c>
      <c r="N33">
        <v>9.3000000000000007</v>
      </c>
      <c r="O33">
        <v>3.37</v>
      </c>
      <c r="U33">
        <v>4400</v>
      </c>
      <c r="V33" s="1">
        <f t="shared" si="12"/>
        <v>7260</v>
      </c>
    </row>
    <row r="34" spans="1:22" ht="144" x14ac:dyDescent="0.3">
      <c r="A34" t="s">
        <v>59</v>
      </c>
      <c r="B34" t="s">
        <v>30</v>
      </c>
      <c r="C34" t="s">
        <v>88</v>
      </c>
      <c r="D34" s="4" t="s">
        <v>112</v>
      </c>
      <c r="E34" t="s">
        <v>113</v>
      </c>
      <c r="F34" s="3" t="s">
        <v>114</v>
      </c>
      <c r="N34">
        <v>10.63</v>
      </c>
      <c r="O34">
        <v>3.37</v>
      </c>
      <c r="U34">
        <v>5400</v>
      </c>
      <c r="V34" s="1">
        <f t="shared" si="12"/>
        <v>8910</v>
      </c>
    </row>
    <row r="35" spans="1:22" ht="144" x14ac:dyDescent="0.3">
      <c r="A35" t="s">
        <v>59</v>
      </c>
      <c r="B35" t="s">
        <v>30</v>
      </c>
      <c r="C35" t="s">
        <v>88</v>
      </c>
      <c r="D35" s="4" t="s">
        <v>116</v>
      </c>
      <c r="E35" t="s">
        <v>117</v>
      </c>
      <c r="F35" s="3" t="s">
        <v>115</v>
      </c>
      <c r="N35">
        <v>11.54</v>
      </c>
      <c r="O35">
        <v>3.37</v>
      </c>
      <c r="U35">
        <v>5700</v>
      </c>
      <c r="V35" s="1">
        <f t="shared" ref="V35:V47" si="13">U35*1.65</f>
        <v>9405</v>
      </c>
    </row>
    <row r="36" spans="1:22" ht="144" x14ac:dyDescent="0.3">
      <c r="A36" t="s">
        <v>59</v>
      </c>
      <c r="B36" t="s">
        <v>30</v>
      </c>
      <c r="C36" t="s">
        <v>88</v>
      </c>
      <c r="D36" s="4" t="s">
        <v>118</v>
      </c>
      <c r="E36" t="s">
        <v>119</v>
      </c>
      <c r="F36" s="3" t="s">
        <v>120</v>
      </c>
      <c r="N36">
        <v>11.96</v>
      </c>
      <c r="O36">
        <v>3.37</v>
      </c>
      <c r="U36">
        <v>6400</v>
      </c>
      <c r="V36" s="1">
        <f t="shared" si="13"/>
        <v>10560</v>
      </c>
    </row>
    <row r="37" spans="1:22" ht="144" x14ac:dyDescent="0.3">
      <c r="A37" t="s">
        <v>59</v>
      </c>
      <c r="B37" t="s">
        <v>30</v>
      </c>
      <c r="C37" t="s">
        <v>88</v>
      </c>
      <c r="D37" s="4" t="s">
        <v>121</v>
      </c>
      <c r="E37" t="s">
        <v>123</v>
      </c>
      <c r="F37" s="3" t="s">
        <v>122</v>
      </c>
      <c r="N37">
        <v>13.44</v>
      </c>
      <c r="O37">
        <v>3.37</v>
      </c>
      <c r="U37">
        <v>7000</v>
      </c>
      <c r="V37" s="1">
        <f t="shared" si="13"/>
        <v>11550</v>
      </c>
    </row>
    <row r="38" spans="1:22" ht="144" x14ac:dyDescent="0.3">
      <c r="A38" t="s">
        <v>59</v>
      </c>
      <c r="B38" t="s">
        <v>30</v>
      </c>
      <c r="C38" t="s">
        <v>88</v>
      </c>
      <c r="D38" s="4" t="s">
        <v>125</v>
      </c>
      <c r="E38" t="s">
        <v>126</v>
      </c>
      <c r="F38" s="3" t="s">
        <v>124</v>
      </c>
      <c r="N38">
        <v>15.28</v>
      </c>
      <c r="O38">
        <v>3.37</v>
      </c>
      <c r="U38">
        <v>7600</v>
      </c>
      <c r="V38" s="1">
        <f t="shared" si="13"/>
        <v>12540</v>
      </c>
    </row>
    <row r="39" spans="1:22" ht="144" x14ac:dyDescent="0.3">
      <c r="A39" t="s">
        <v>59</v>
      </c>
      <c r="B39" t="s">
        <v>30</v>
      </c>
      <c r="C39" t="s">
        <v>88</v>
      </c>
      <c r="D39" s="4" t="s">
        <v>127</v>
      </c>
      <c r="E39" t="s">
        <v>106</v>
      </c>
      <c r="F39" s="3" t="s">
        <v>128</v>
      </c>
      <c r="N39">
        <v>18.600000000000001</v>
      </c>
      <c r="O39">
        <v>3.37</v>
      </c>
      <c r="U39">
        <v>8800</v>
      </c>
      <c r="V39" s="1">
        <f t="shared" si="13"/>
        <v>14520</v>
      </c>
    </row>
    <row r="40" spans="1:22" ht="86.4" x14ac:dyDescent="0.3">
      <c r="A40" t="s">
        <v>59</v>
      </c>
      <c r="B40" t="s">
        <v>30</v>
      </c>
      <c r="C40" t="s">
        <v>129</v>
      </c>
      <c r="D40" s="4" t="s">
        <v>131</v>
      </c>
      <c r="E40" t="s">
        <v>130</v>
      </c>
      <c r="F40" s="3" t="s">
        <v>143</v>
      </c>
      <c r="P40">
        <v>21930</v>
      </c>
      <c r="Q40">
        <v>0.87</v>
      </c>
      <c r="R40" t="s">
        <v>147</v>
      </c>
      <c r="U40">
        <v>1568</v>
      </c>
      <c r="V40" s="1">
        <f t="shared" si="13"/>
        <v>2587.1999999999998</v>
      </c>
    </row>
    <row r="41" spans="1:22" ht="86.4" x14ac:dyDescent="0.3">
      <c r="A41" t="s">
        <v>59</v>
      </c>
      <c r="B41" t="s">
        <v>30</v>
      </c>
      <c r="C41" t="s">
        <v>129</v>
      </c>
      <c r="D41" s="4" t="s">
        <v>132</v>
      </c>
      <c r="E41" t="s">
        <v>137</v>
      </c>
      <c r="F41" s="3" t="s">
        <v>148</v>
      </c>
      <c r="P41">
        <v>29756</v>
      </c>
      <c r="Q41">
        <v>0.85</v>
      </c>
      <c r="R41" t="s">
        <v>147</v>
      </c>
      <c r="U41">
        <v>1932</v>
      </c>
      <c r="V41" s="1">
        <f t="shared" si="13"/>
        <v>3187.7999999999997</v>
      </c>
    </row>
    <row r="42" spans="1:22" ht="86.4" x14ac:dyDescent="0.3">
      <c r="A42" t="s">
        <v>59</v>
      </c>
      <c r="B42" t="s">
        <v>30</v>
      </c>
      <c r="C42" t="s">
        <v>129</v>
      </c>
      <c r="D42" s="4" t="s">
        <v>133</v>
      </c>
      <c r="E42" t="s">
        <v>138</v>
      </c>
      <c r="F42" s="3" t="s">
        <v>149</v>
      </c>
      <c r="P42">
        <v>36500</v>
      </c>
      <c r="Q42">
        <v>0.86</v>
      </c>
      <c r="R42" t="s">
        <v>147</v>
      </c>
      <c r="U42">
        <v>2835</v>
      </c>
      <c r="V42" s="1">
        <f t="shared" si="13"/>
        <v>4677.75</v>
      </c>
    </row>
    <row r="43" spans="1:22" ht="86.4" x14ac:dyDescent="0.3">
      <c r="A43" t="s">
        <v>59</v>
      </c>
      <c r="B43" t="s">
        <v>30</v>
      </c>
      <c r="C43" t="s">
        <v>129</v>
      </c>
      <c r="D43" s="4" t="s">
        <v>134</v>
      </c>
      <c r="E43" t="s">
        <v>139</v>
      </c>
      <c r="F43" s="3" t="s">
        <v>150</v>
      </c>
      <c r="P43">
        <v>44890</v>
      </c>
      <c r="Q43">
        <v>0.87</v>
      </c>
      <c r="R43" t="s">
        <v>147</v>
      </c>
      <c r="U43">
        <v>3727</v>
      </c>
      <c r="V43" s="1">
        <f t="shared" si="13"/>
        <v>6149.5499999999993</v>
      </c>
    </row>
    <row r="44" spans="1:22" ht="86.4" x14ac:dyDescent="0.3">
      <c r="A44" t="s">
        <v>59</v>
      </c>
      <c r="B44" t="s">
        <v>30</v>
      </c>
      <c r="C44" t="s">
        <v>129</v>
      </c>
      <c r="D44" s="4" t="s">
        <v>135</v>
      </c>
      <c r="E44" t="s">
        <v>140</v>
      </c>
      <c r="F44" s="3" t="s">
        <v>142</v>
      </c>
      <c r="P44">
        <v>53000</v>
      </c>
      <c r="Q44">
        <v>0.86</v>
      </c>
      <c r="R44" t="s">
        <v>147</v>
      </c>
      <c r="U44">
        <v>4125</v>
      </c>
      <c r="V44" s="1">
        <f t="shared" si="13"/>
        <v>6806.25</v>
      </c>
    </row>
    <row r="45" spans="1:22" ht="86.4" x14ac:dyDescent="0.3">
      <c r="A45" t="s">
        <v>59</v>
      </c>
      <c r="B45" t="s">
        <v>30</v>
      </c>
      <c r="C45" t="s">
        <v>129</v>
      </c>
      <c r="D45" s="4" t="s">
        <v>136</v>
      </c>
      <c r="E45" t="s">
        <v>141</v>
      </c>
      <c r="F45" s="3" t="s">
        <v>151</v>
      </c>
      <c r="P45">
        <v>65000</v>
      </c>
      <c r="Q45">
        <v>0.86</v>
      </c>
      <c r="R45" t="s">
        <v>147</v>
      </c>
      <c r="U45">
        <v>5234</v>
      </c>
      <c r="V45" s="1">
        <f t="shared" si="13"/>
        <v>8636.1</v>
      </c>
    </row>
    <row r="46" spans="1:22" ht="115.2" x14ac:dyDescent="0.3">
      <c r="A46" t="s">
        <v>59</v>
      </c>
      <c r="B46" t="s">
        <v>30</v>
      </c>
      <c r="C46" t="s">
        <v>129</v>
      </c>
      <c r="D46" s="4" t="s">
        <v>154</v>
      </c>
      <c r="E46" t="s">
        <v>155</v>
      </c>
      <c r="F46" s="3" t="s">
        <v>157</v>
      </c>
      <c r="P46">
        <v>53000</v>
      </c>
      <c r="Q46">
        <v>0.86</v>
      </c>
      <c r="R46" t="s">
        <v>147</v>
      </c>
      <c r="U46">
        <v>4125</v>
      </c>
      <c r="V46" s="1">
        <f t="shared" ref="V46" si="14">U46*1.65</f>
        <v>6806.25</v>
      </c>
    </row>
    <row r="47" spans="1:22" ht="28.8" x14ac:dyDescent="0.3">
      <c r="A47" t="s">
        <v>59</v>
      </c>
      <c r="B47" t="s">
        <v>30</v>
      </c>
      <c r="C47" t="s">
        <v>81</v>
      </c>
      <c r="D47" s="4" t="s">
        <v>152</v>
      </c>
      <c r="E47" t="s">
        <v>153</v>
      </c>
      <c r="F47" s="3" t="s">
        <v>156</v>
      </c>
      <c r="U47">
        <v>909.09090000000003</v>
      </c>
      <c r="V47" s="1">
        <f t="shared" si="13"/>
        <v>1499.9999849999999</v>
      </c>
    </row>
    <row r="48" spans="1:22" ht="28.8" x14ac:dyDescent="0.3">
      <c r="A48" t="s">
        <v>59</v>
      </c>
      <c r="B48" t="s">
        <v>30</v>
      </c>
      <c r="C48" t="s">
        <v>81</v>
      </c>
      <c r="D48" s="4" t="s">
        <v>158</v>
      </c>
      <c r="E48" t="s">
        <v>159</v>
      </c>
      <c r="F48" s="3" t="s">
        <v>160</v>
      </c>
      <c r="U48">
        <v>424.24239999999998</v>
      </c>
      <c r="V48" s="1">
        <f t="shared" ref="V48:V52" si="15">U48*1.65</f>
        <v>699.99995999999987</v>
      </c>
    </row>
    <row r="49" spans="1:22" ht="57.6" x14ac:dyDescent="0.3">
      <c r="A49" t="s">
        <v>59</v>
      </c>
      <c r="B49" t="s">
        <v>30</v>
      </c>
      <c r="C49" t="s">
        <v>166</v>
      </c>
      <c r="D49" s="4" t="s">
        <v>164</v>
      </c>
      <c r="E49" t="s">
        <v>165</v>
      </c>
      <c r="F49" s="3" t="s">
        <v>168</v>
      </c>
      <c r="S49">
        <v>48</v>
      </c>
      <c r="U49">
        <v>1333.3333299999999</v>
      </c>
      <c r="V49" s="1">
        <f t="shared" si="15"/>
        <v>2199.9999945</v>
      </c>
    </row>
    <row r="50" spans="1:22" ht="57.6" x14ac:dyDescent="0.3">
      <c r="A50" t="s">
        <v>59</v>
      </c>
      <c r="B50" t="s">
        <v>30</v>
      </c>
      <c r="C50" t="s">
        <v>166</v>
      </c>
      <c r="D50" s="4" t="s">
        <v>171</v>
      </c>
      <c r="E50" t="s">
        <v>169</v>
      </c>
      <c r="F50" s="3" t="s">
        <v>167</v>
      </c>
      <c r="S50">
        <v>90</v>
      </c>
      <c r="U50">
        <v>1818.18</v>
      </c>
      <c r="V50" s="1">
        <f t="shared" si="15"/>
        <v>2999.9969999999998</v>
      </c>
    </row>
    <row r="51" spans="1:22" ht="43.2" x14ac:dyDescent="0.3">
      <c r="A51" t="s">
        <v>59</v>
      </c>
      <c r="B51" t="s">
        <v>30</v>
      </c>
      <c r="C51" t="s">
        <v>172</v>
      </c>
      <c r="D51" s="4" t="s">
        <v>173</v>
      </c>
      <c r="E51" t="s">
        <v>174</v>
      </c>
      <c r="F51" s="3" t="s">
        <v>175</v>
      </c>
      <c r="U51">
        <v>303.02999999999997</v>
      </c>
      <c r="V51" s="1">
        <f t="shared" si="15"/>
        <v>499.99949999999995</v>
      </c>
    </row>
    <row r="52" spans="1:22" ht="43.2" x14ac:dyDescent="0.3">
      <c r="A52" t="s">
        <v>59</v>
      </c>
      <c r="B52" t="s">
        <v>30</v>
      </c>
      <c r="C52" t="s">
        <v>172</v>
      </c>
      <c r="D52" s="4" t="s">
        <v>176</v>
      </c>
      <c r="E52" t="s">
        <v>177</v>
      </c>
      <c r="F52" s="3" t="s">
        <v>178</v>
      </c>
      <c r="U52">
        <v>757.57569999999998</v>
      </c>
      <c r="V52" s="1">
        <f t="shared" si="15"/>
        <v>1249.9999049999999</v>
      </c>
    </row>
    <row r="53" spans="1:22" ht="43.2" x14ac:dyDescent="0.3">
      <c r="A53" t="s">
        <v>59</v>
      </c>
      <c r="B53" t="s">
        <v>30</v>
      </c>
      <c r="C53" t="s">
        <v>172</v>
      </c>
      <c r="D53" s="4" t="s">
        <v>180</v>
      </c>
      <c r="E53" t="s">
        <v>181</v>
      </c>
      <c r="F53" s="3" t="s">
        <v>178</v>
      </c>
      <c r="U53">
        <v>1333.3333299999999</v>
      </c>
      <c r="V53" s="1">
        <f t="shared" ref="V53" si="16">U53*1.65</f>
        <v>2199.9999945</v>
      </c>
    </row>
    <row r="54" spans="1:22" ht="158.4" x14ac:dyDescent="0.3">
      <c r="A54" t="s">
        <v>59</v>
      </c>
      <c r="B54" t="s">
        <v>30</v>
      </c>
      <c r="C54" t="s">
        <v>179</v>
      </c>
      <c r="D54" s="4" t="s">
        <v>184</v>
      </c>
      <c r="E54" t="s">
        <v>183</v>
      </c>
      <c r="F54" s="3" t="s">
        <v>182</v>
      </c>
      <c r="T54">
        <v>90</v>
      </c>
      <c r="U54">
        <v>7000</v>
      </c>
      <c r="V54" s="1">
        <f t="shared" ref="V54" si="17">U54*1.65</f>
        <v>11550</v>
      </c>
    </row>
    <row r="55" spans="1:22" ht="158.4" x14ac:dyDescent="0.3">
      <c r="A55" t="s">
        <v>59</v>
      </c>
      <c r="B55" t="s">
        <v>30</v>
      </c>
      <c r="C55" t="s">
        <v>179</v>
      </c>
      <c r="D55" s="4" t="s">
        <v>187</v>
      </c>
      <c r="E55" t="s">
        <v>186</v>
      </c>
      <c r="F55" s="3" t="s">
        <v>188</v>
      </c>
      <c r="T55">
        <v>75</v>
      </c>
      <c r="U55">
        <v>6400</v>
      </c>
      <c r="V55" s="1">
        <f t="shared" ref="V55" si="18">U55*1.65</f>
        <v>10560</v>
      </c>
    </row>
    <row r="56" spans="1:22" ht="158.4" x14ac:dyDescent="0.3">
      <c r="A56" t="s">
        <v>59</v>
      </c>
      <c r="B56" t="s">
        <v>30</v>
      </c>
      <c r="C56" t="s">
        <v>179</v>
      </c>
      <c r="D56" s="4" t="s">
        <v>191</v>
      </c>
      <c r="E56" t="s">
        <v>190</v>
      </c>
      <c r="F56" s="3" t="s">
        <v>189</v>
      </c>
      <c r="T56">
        <v>60</v>
      </c>
      <c r="U56">
        <v>5300</v>
      </c>
      <c r="V56" s="1">
        <f t="shared" ref="V56" si="19">U56*1.65</f>
        <v>8745</v>
      </c>
    </row>
    <row r="57" spans="1:22" ht="158.4" x14ac:dyDescent="0.3">
      <c r="A57" t="s">
        <v>59</v>
      </c>
      <c r="B57" t="s">
        <v>30</v>
      </c>
      <c r="C57" t="s">
        <v>179</v>
      </c>
      <c r="D57" s="4" t="s">
        <v>193</v>
      </c>
      <c r="E57" t="s">
        <v>192</v>
      </c>
      <c r="F57" s="3" t="s">
        <v>199</v>
      </c>
      <c r="T57">
        <v>52</v>
      </c>
      <c r="U57">
        <v>5000</v>
      </c>
      <c r="V57" s="1">
        <f t="shared" ref="V57" si="20">U57*1.65</f>
        <v>8250</v>
      </c>
    </row>
    <row r="58" spans="1:22" ht="158.4" x14ac:dyDescent="0.3">
      <c r="A58" t="s">
        <v>59</v>
      </c>
      <c r="B58" t="s">
        <v>30</v>
      </c>
      <c r="C58" t="s">
        <v>179</v>
      </c>
      <c r="D58" s="4" t="s">
        <v>194</v>
      </c>
      <c r="E58" t="s">
        <v>195</v>
      </c>
      <c r="F58" s="3" t="s">
        <v>200</v>
      </c>
      <c r="T58">
        <v>45</v>
      </c>
      <c r="U58">
        <v>4500</v>
      </c>
      <c r="V58" s="1">
        <f t="shared" ref="V58" si="21">U58*1.65</f>
        <v>7425</v>
      </c>
    </row>
    <row r="59" spans="1:22" ht="158.4" x14ac:dyDescent="0.3">
      <c r="A59" t="s">
        <v>59</v>
      </c>
      <c r="B59" t="s">
        <v>30</v>
      </c>
      <c r="C59" t="s">
        <v>179</v>
      </c>
      <c r="D59" s="4" t="s">
        <v>197</v>
      </c>
      <c r="E59" t="s">
        <v>196</v>
      </c>
      <c r="F59" s="3" t="s">
        <v>198</v>
      </c>
      <c r="T59">
        <v>40</v>
      </c>
      <c r="U59">
        <v>3100</v>
      </c>
      <c r="V59" s="1">
        <f t="shared" ref="V59" si="22">U59*1.65</f>
        <v>5115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Carvalho</dc:creator>
  <cp:lastModifiedBy>RAFAEL CARVALHO</cp:lastModifiedBy>
  <dcterms:created xsi:type="dcterms:W3CDTF">2025-05-03T16:48:53Z</dcterms:created>
  <dcterms:modified xsi:type="dcterms:W3CDTF">2025-12-13T23:50:23Z</dcterms:modified>
</cp:coreProperties>
</file>